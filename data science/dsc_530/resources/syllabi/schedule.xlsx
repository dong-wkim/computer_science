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USB and External Devices\DKIM\python\dsc_530\"/>
    </mc:Choice>
  </mc:AlternateContent>
  <xr:revisionPtr revIDLastSave="0" documentId="13_ncr:1_{CCBD0328-74F9-45B9-A241-F4ED086DACDE}" xr6:coauthVersionLast="47" xr6:coauthVersionMax="47" xr10:uidLastSave="{00000000-0000-0000-0000-000000000000}"/>
  <bookViews>
    <workbookView xWindow="-110" yWindow="-110" windowWidth="19420" windowHeight="10300" xr2:uid="{27C71D49-B3A4-46A3-AC34-FDB45412B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M4" i="1"/>
  <c r="M5" i="1"/>
  <c r="M6" i="1"/>
  <c r="M7" i="1"/>
  <c r="M8" i="1"/>
  <c r="M3" i="1"/>
  <c r="O4" i="1"/>
  <c r="O5" i="1"/>
  <c r="O6" i="1"/>
  <c r="O7" i="1"/>
  <c r="O8" i="1"/>
  <c r="O3" i="1"/>
  <c r="L9" i="1"/>
  <c r="H9" i="1"/>
  <c r="I9" i="1"/>
  <c r="N8" i="1"/>
  <c r="N7" i="1"/>
  <c r="N6" i="1"/>
  <c r="N5" i="1"/>
  <c r="N4" i="1"/>
  <c r="N3" i="1"/>
  <c r="M9" i="1" l="1"/>
  <c r="O9" i="1"/>
  <c r="N9" i="1"/>
</calcChain>
</file>

<file path=xl/sharedStrings.xml><?xml version="1.0" encoding="utf-8"?>
<sst xmlns="http://schemas.openxmlformats.org/spreadsheetml/2006/main" count="57" uniqueCount="23">
  <si>
    <t>1-2</t>
  </si>
  <si>
    <t>3-4</t>
  </si>
  <si>
    <t>5-6</t>
  </si>
  <si>
    <t>7-8</t>
  </si>
  <si>
    <t>9-10</t>
  </si>
  <si>
    <t>11</t>
  </si>
  <si>
    <t>Week</t>
  </si>
  <si>
    <t>Title</t>
  </si>
  <si>
    <t>Final project</t>
  </si>
  <si>
    <t>Data analysis, manipulation, and processing</t>
  </si>
  <si>
    <t>Sampling method, descriptive statistics, and data distribution</t>
  </si>
  <si>
    <t>Points</t>
  </si>
  <si>
    <t>Regression, classification, and clustering</t>
  </si>
  <si>
    <t>Data visualization</t>
  </si>
  <si>
    <t>Data aggregation (pandas), and test statistics</t>
  </si>
  <si>
    <t>Received</t>
  </si>
  <si>
    <t>Total</t>
  </si>
  <si>
    <t>☐</t>
  </si>
  <si>
    <t>Due date</t>
  </si>
  <si>
    <t>Coding assignment</t>
  </si>
  <si>
    <t>Discussion/participation</t>
  </si>
  <si>
    <t>%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</si>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</sst>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Calibri Light"/>
      <family val="2"/>
    </font>
    <font>
      <b/>
      <sz val="9"/>
      <color theme="1"/>
      <name val="Calibri Light"/>
      <family val="2"/>
    </font>
    <font>
      <sz val="11"/>
      <color theme="1"/>
      <name val="Aptos Narrow"/>
      <family val="2"/>
      <scheme val="minor"/>
    </font>
    <font>
      <sz val="10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0" fontId="1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0" fontId="1" fillId="4" borderId="1" xfId="1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horizontal="right" vertical="center"/>
    </xf>
    <xf numFmtId="16" fontId="1" fillId="5" borderId="1" xfId="0" quotePrefix="1" applyNumberFormat="1" applyFont="1" applyFill="1" applyBorder="1" applyAlignment="1">
      <alignment vertical="center"/>
    </xf>
    <xf numFmtId="0" fontId="1" fillId="5" borderId="1" xfId="0" quotePrefix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E8EE-C4C7-4C1B-AF3A-6F6BBBCC8DA6}">
  <dimension ref="A1:P10"/>
  <sheetViews>
    <sheetView tabSelected="1" zoomScale="110" workbookViewId="0">
      <selection activeCell="G11" sqref="G11"/>
    </sheetView>
  </sheetViews>
  <sheetFormatPr defaultRowHeight="14.5" x14ac:dyDescent="0.35"/>
  <cols>
    <col min="1" max="1" width="8.6328125" style="4" bestFit="1" customWidth="1"/>
    <col min="2" max="2" width="5" style="4" bestFit="1" customWidth="1"/>
    <col min="3" max="3" width="41.7265625" style="1" bestFit="1" customWidth="1"/>
    <col min="4" max="7" width="2.81640625" style="3" customWidth="1"/>
    <col min="8" max="8" width="7.54296875" style="4" bestFit="1" customWidth="1"/>
    <col min="9" max="9" width="5.36328125" style="4" bestFit="1" customWidth="1"/>
    <col min="10" max="10" width="2.26953125" style="4" bestFit="1" customWidth="1"/>
    <col min="11" max="11" width="7.54296875" style="4" bestFit="1" customWidth="1"/>
    <col min="12" max="12" width="5.36328125" style="4" bestFit="1" customWidth="1"/>
    <col min="13" max="13" width="7.54296875" style="4" bestFit="1" customWidth="1"/>
    <col min="14" max="14" width="6.81640625" style="4" bestFit="1" customWidth="1"/>
    <col min="15" max="15" width="5.6328125" style="5" bestFit="1" customWidth="1"/>
    <col min="16" max="16384" width="8.7265625" style="4"/>
  </cols>
  <sheetData>
    <row r="1" spans="1:16" s="6" customFormat="1" ht="14.5" customHeight="1" x14ac:dyDescent="0.35">
      <c r="A1" s="17" t="s">
        <v>22</v>
      </c>
      <c r="B1" s="17"/>
      <c r="C1" s="17"/>
      <c r="D1" s="7" t="s">
        <v>20</v>
      </c>
      <c r="E1" s="7"/>
      <c r="F1" s="7"/>
      <c r="G1" s="7"/>
      <c r="H1" s="7"/>
      <c r="I1" s="7"/>
      <c r="J1" s="11" t="s">
        <v>19</v>
      </c>
      <c r="K1" s="11"/>
      <c r="L1" s="11"/>
      <c r="M1" s="14" t="s">
        <v>16</v>
      </c>
      <c r="N1" s="14"/>
      <c r="O1" s="14"/>
    </row>
    <row r="2" spans="1:16" ht="16" x14ac:dyDescent="0.35">
      <c r="A2" s="18" t="s">
        <v>18</v>
      </c>
      <c r="B2" s="19" t="s">
        <v>6</v>
      </c>
      <c r="C2" s="19" t="s">
        <v>7</v>
      </c>
      <c r="D2" s="8">
        <v>1</v>
      </c>
      <c r="E2" s="8">
        <v>2</v>
      </c>
      <c r="F2" s="8">
        <v>3</v>
      </c>
      <c r="G2" s="8">
        <v>4</v>
      </c>
      <c r="H2" s="9" t="s">
        <v>15</v>
      </c>
      <c r="I2" s="9" t="s">
        <v>16</v>
      </c>
      <c r="J2" s="12"/>
      <c r="K2" s="12" t="s">
        <v>15</v>
      </c>
      <c r="L2" s="12" t="s">
        <v>16</v>
      </c>
      <c r="M2" s="15" t="s">
        <v>15</v>
      </c>
      <c r="N2" s="15" t="s">
        <v>11</v>
      </c>
      <c r="O2" s="16" t="s">
        <v>21</v>
      </c>
      <c r="P2" s="2"/>
    </row>
    <row r="3" spans="1:16" ht="16" x14ac:dyDescent="0.35">
      <c r="A3" s="20">
        <v>45922</v>
      </c>
      <c r="B3" s="21" t="s">
        <v>0</v>
      </c>
      <c r="C3" s="19" t="s">
        <v>9</v>
      </c>
      <c r="D3" s="8" t="s">
        <v>17</v>
      </c>
      <c r="E3" s="8" t="s">
        <v>17</v>
      </c>
      <c r="F3" s="8" t="s">
        <v>17</v>
      </c>
      <c r="G3" s="8" t="s">
        <v>17</v>
      </c>
      <c r="H3" s="9">
        <v>30</v>
      </c>
      <c r="I3" s="9">
        <v>40</v>
      </c>
      <c r="J3" s="13" t="s">
        <v>17</v>
      </c>
      <c r="K3" s="12">
        <v>70</v>
      </c>
      <c r="L3" s="12">
        <v>72</v>
      </c>
      <c r="M3" s="15">
        <f>IF((H3+K3)&lt;&gt;0,(H3+K3),"")</f>
        <v>100</v>
      </c>
      <c r="N3" s="15">
        <f>SUM(I3,L3)</f>
        <v>112</v>
      </c>
      <c r="O3" s="16">
        <f>IF((H3+K3)/(I3+L3)&lt;&gt;0,(H3+K3)/(I3+L3),"")</f>
        <v>0.8928571428571429</v>
      </c>
      <c r="P3" s="2"/>
    </row>
    <row r="4" spans="1:16" ht="12" x14ac:dyDescent="0.35">
      <c r="A4" s="20">
        <v>45936</v>
      </c>
      <c r="B4" s="21" t="s">
        <v>1</v>
      </c>
      <c r="C4" s="19" t="s">
        <v>10</v>
      </c>
      <c r="D4" s="8" t="s">
        <v>17</v>
      </c>
      <c r="E4" s="8" t="s">
        <v>17</v>
      </c>
      <c r="F4" s="8" t="s">
        <v>17</v>
      </c>
      <c r="G4" s="8" t="s">
        <v>17</v>
      </c>
      <c r="H4" s="9"/>
      <c r="I4" s="9">
        <v>40</v>
      </c>
      <c r="J4" s="13" t="s">
        <v>17</v>
      </c>
      <c r="K4" s="12"/>
      <c r="L4" s="12">
        <v>72</v>
      </c>
      <c r="M4" s="15" t="str">
        <f>IF((H4+K4)&lt;&gt;0,(H4+K4),"")</f>
        <v/>
      </c>
      <c r="N4" s="15">
        <f>SUM(I4,L4)</f>
        <v>112</v>
      </c>
      <c r="O4" s="16" t="str">
        <f>IF((H4+K4)/(I4+L4)&lt;&gt;0,(H4+K4)/(I4+L4),"")</f>
        <v/>
      </c>
    </row>
    <row r="5" spans="1:16" ht="12" x14ac:dyDescent="0.35">
      <c r="A5" s="20">
        <v>45950</v>
      </c>
      <c r="B5" s="22" t="s">
        <v>2</v>
      </c>
      <c r="C5" s="19" t="s">
        <v>14</v>
      </c>
      <c r="D5" s="8" t="s">
        <v>17</v>
      </c>
      <c r="E5" s="8" t="s">
        <v>17</v>
      </c>
      <c r="F5" s="8" t="s">
        <v>17</v>
      </c>
      <c r="G5" s="8" t="s">
        <v>17</v>
      </c>
      <c r="H5" s="9"/>
      <c r="I5" s="9">
        <v>40</v>
      </c>
      <c r="J5" s="13" t="s">
        <v>17</v>
      </c>
      <c r="K5" s="12"/>
      <c r="L5" s="12">
        <v>72</v>
      </c>
      <c r="M5" s="15" t="str">
        <f>IF((H5+K5)&lt;&gt;0,(H5+K5),"")</f>
        <v/>
      </c>
      <c r="N5" s="15">
        <f>SUM(I5,L5)</f>
        <v>112</v>
      </c>
      <c r="O5" s="16" t="str">
        <f>IF((H5+K5)/(I5+L5)&lt;&gt;0,(H5+K5)/(I5+L5),"")</f>
        <v/>
      </c>
    </row>
    <row r="6" spans="1:16" ht="12" x14ac:dyDescent="0.35">
      <c r="A6" s="20">
        <v>45964</v>
      </c>
      <c r="B6" s="22" t="s">
        <v>3</v>
      </c>
      <c r="C6" s="19" t="s">
        <v>13</v>
      </c>
      <c r="D6" s="8" t="s">
        <v>17</v>
      </c>
      <c r="E6" s="8" t="s">
        <v>17</v>
      </c>
      <c r="F6" s="8" t="s">
        <v>17</v>
      </c>
      <c r="G6" s="8" t="s">
        <v>17</v>
      </c>
      <c r="H6" s="9"/>
      <c r="I6" s="9">
        <v>40</v>
      </c>
      <c r="J6" s="13" t="s">
        <v>17</v>
      </c>
      <c r="K6" s="12"/>
      <c r="L6" s="12">
        <v>72</v>
      </c>
      <c r="M6" s="15" t="str">
        <f>IF((H6+K6)&lt;&gt;0,(H6+K6),"")</f>
        <v/>
      </c>
      <c r="N6" s="15">
        <f>SUM(I6,L6)</f>
        <v>112</v>
      </c>
      <c r="O6" s="16" t="str">
        <f>IF((H6+K6)/(I6+L6)&lt;&gt;0,(H6+K6)/(I6+L6),"")</f>
        <v/>
      </c>
    </row>
    <row r="7" spans="1:16" ht="12" x14ac:dyDescent="0.35">
      <c r="A7" s="20">
        <v>45978</v>
      </c>
      <c r="B7" s="22" t="s">
        <v>4</v>
      </c>
      <c r="C7" s="19" t="s">
        <v>12</v>
      </c>
      <c r="D7" s="8" t="s">
        <v>17</v>
      </c>
      <c r="E7" s="8" t="s">
        <v>17</v>
      </c>
      <c r="F7" s="8" t="s">
        <v>17</v>
      </c>
      <c r="G7" s="8" t="s">
        <v>17</v>
      </c>
      <c r="H7" s="9"/>
      <c r="I7" s="9">
        <v>40</v>
      </c>
      <c r="J7" s="13" t="s">
        <v>17</v>
      </c>
      <c r="K7" s="12"/>
      <c r="L7" s="12">
        <v>72</v>
      </c>
      <c r="M7" s="15" t="str">
        <f>IF((H7+K7)&lt;&gt;0,(H7+K7),"")</f>
        <v/>
      </c>
      <c r="N7" s="15">
        <f>SUM(I7,L7)</f>
        <v>112</v>
      </c>
      <c r="O7" s="16" t="str">
        <f>IF((H7+K7)/(I7+L7)&lt;&gt;0,(H7+K7)/(I7+L7),"")</f>
        <v/>
      </c>
    </row>
    <row r="8" spans="1:16" ht="12" x14ac:dyDescent="0.35">
      <c r="A8" s="20">
        <v>45985</v>
      </c>
      <c r="B8" s="22" t="s">
        <v>5</v>
      </c>
      <c r="C8" s="19" t="s">
        <v>8</v>
      </c>
      <c r="D8" s="8" t="s">
        <v>17</v>
      </c>
      <c r="E8" s="8" t="s">
        <v>17</v>
      </c>
      <c r="F8" s="8" t="s">
        <v>17</v>
      </c>
      <c r="G8" s="8" t="s">
        <v>17</v>
      </c>
      <c r="H8" s="9"/>
      <c r="I8" s="9">
        <v>40</v>
      </c>
      <c r="J8" s="13" t="s">
        <v>17</v>
      </c>
      <c r="K8" s="12"/>
      <c r="L8" s="12">
        <v>600</v>
      </c>
      <c r="M8" s="15" t="str">
        <f>IF((H8+K8)&lt;&gt;0,(H8+K8),"")</f>
        <v/>
      </c>
      <c r="N8" s="15">
        <f>SUM(I8,L8)</f>
        <v>640</v>
      </c>
      <c r="O8" s="16" t="str">
        <f>IF((H8+K8)/(I8+L8)&lt;&gt;0,(H8+K8)/(I8+L8),"")</f>
        <v/>
      </c>
    </row>
    <row r="9" spans="1:16" ht="12" x14ac:dyDescent="0.35">
      <c r="A9" s="23"/>
      <c r="B9" s="23"/>
      <c r="C9" s="23" t="s">
        <v>16</v>
      </c>
      <c r="D9" s="10"/>
      <c r="E9" s="10"/>
      <c r="F9" s="10"/>
      <c r="G9" s="10"/>
      <c r="H9" s="9">
        <f>SUM(H3:H8)</f>
        <v>30</v>
      </c>
      <c r="I9" s="9">
        <f>SUM(I3:I8)</f>
        <v>240</v>
      </c>
      <c r="J9" s="12"/>
      <c r="K9" s="12">
        <f>SUM(K3:K8)</f>
        <v>70</v>
      </c>
      <c r="L9" s="12">
        <f>SUM(L3:L8)</f>
        <v>960</v>
      </c>
      <c r="M9" s="15">
        <f>SUM(M3:M8)</f>
        <v>100</v>
      </c>
      <c r="N9" s="15">
        <f>SUM(N3:N8)</f>
        <v>1200</v>
      </c>
      <c r="O9" s="16">
        <f>SUMIF(O3:O8,"&gt;0",O3:O8)</f>
        <v>0.8928571428571429</v>
      </c>
    </row>
    <row r="10" spans="1:16" x14ac:dyDescent="0.35">
      <c r="A10" s="6"/>
    </row>
  </sheetData>
  <mergeCells count="4">
    <mergeCell ref="M1:O1"/>
    <mergeCell ref="A1:C1"/>
    <mergeCell ref="D1:I1"/>
    <mergeCell ref="J1:L1"/>
  </mergeCells>
  <dataValidations count="1">
    <dataValidation type="list" allowBlank="1" showInputMessage="1" showErrorMessage="1" sqref="D3:G8 J3:J8" xr:uid="{F33BE14F-8765-43E3-90DB-7DBB000CAEB4}">
      <formula1>"☐,☑"</formula1>
    </dataValidation>
  </dataValidations>
  <pageMargins left="0.7" right="0.7" top="0.75" bottom="0.75" header="0.3" footer="0.3"/>
  <pageSetup paperSize="9" orientation="landscape" r:id="rId1"/>
  <ignoredErrors>
    <ignoredError sqref="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cp:lastPrinted>2025-09-14T05:39:22Z</cp:lastPrinted>
  <dcterms:created xsi:type="dcterms:W3CDTF">2025-09-14T05:12:41Z</dcterms:created>
  <dcterms:modified xsi:type="dcterms:W3CDTF">2025-09-15T12:00:02Z</dcterms:modified>
</cp:coreProperties>
</file>